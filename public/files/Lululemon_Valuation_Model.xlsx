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yan Neumann\Downloads\"/>
    </mc:Choice>
  </mc:AlternateContent>
  <xr:revisionPtr revIDLastSave="0" documentId="13_ncr:1_{3B990518-21AB-41B8-A38E-549F15434D71}" xr6:coauthVersionLast="47" xr6:coauthVersionMax="47" xr10:uidLastSave="{00000000-0000-0000-0000-000000000000}"/>
  <bookViews>
    <workbookView xWindow="22932" yWindow="1824" windowWidth="23256" windowHeight="12456" tabRatio="500" activeTab="5" xr2:uid="{00000000-000D-0000-FFFF-FFFF00000000}"/>
  </bookViews>
  <sheets>
    <sheet name="Cover" sheetId="1" r:id="rId1"/>
    <sheet name="Assumptions" sheetId="2" r:id="rId2"/>
    <sheet name="DCF Model" sheetId="3" r:id="rId3"/>
    <sheet name="Comps" sheetId="4" r:id="rId4"/>
    <sheet name="Val Sum" sheetId="5" r:id="rId5"/>
    <sheet name="Sensitivit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6" i="4" l="1"/>
  <c r="C22" i="4" s="1"/>
  <c r="E22" i="4" s="1"/>
  <c r="G22" i="4" s="1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I17" i="4" s="1"/>
  <c r="H7" i="4"/>
  <c r="H18" i="4" s="1"/>
  <c r="I6" i="4"/>
  <c r="H6" i="4"/>
  <c r="C11" i="3"/>
  <c r="C15" i="3" s="1"/>
  <c r="D7" i="3"/>
  <c r="D6" i="3"/>
  <c r="D11" i="3" s="1"/>
  <c r="D15" i="3" s="1"/>
  <c r="C6" i="3"/>
  <c r="C16" i="3" s="1"/>
  <c r="C33" i="2"/>
  <c r="C34" i="2" s="1"/>
  <c r="C30" i="2"/>
  <c r="C18" i="2"/>
  <c r="E8" i="5" l="1"/>
  <c r="D8" i="5"/>
  <c r="C8" i="5"/>
  <c r="I18" i="4"/>
  <c r="H15" i="4"/>
  <c r="C9" i="3"/>
  <c r="D17" i="3"/>
  <c r="I15" i="4"/>
  <c r="H16" i="4"/>
  <c r="C21" i="4" s="1"/>
  <c r="E21" i="4" s="1"/>
  <c r="G21" i="4" s="1"/>
  <c r="D9" i="3"/>
  <c r="E6" i="3"/>
  <c r="C8" i="3"/>
  <c r="D8" i="3"/>
  <c r="D16" i="3"/>
  <c r="H17" i="4"/>
  <c r="C12" i="3" l="1"/>
  <c r="C10" i="3"/>
  <c r="E16" i="3"/>
  <c r="E8" i="3"/>
  <c r="F6" i="3"/>
  <c r="E9" i="3"/>
  <c r="E17" i="3"/>
  <c r="E11" i="3"/>
  <c r="E15" i="3" s="1"/>
  <c r="E7" i="3"/>
  <c r="D12" i="3"/>
  <c r="D10" i="3"/>
  <c r="E7" i="5"/>
  <c r="D7" i="5"/>
  <c r="C7" i="5"/>
  <c r="F16" i="3" l="1"/>
  <c r="F8" i="3"/>
  <c r="G6" i="3"/>
  <c r="F9" i="3"/>
  <c r="F17" i="3"/>
  <c r="F7" i="3"/>
  <c r="F11" i="3"/>
  <c r="F15" i="3" s="1"/>
  <c r="E12" i="3"/>
  <c r="E10" i="3"/>
  <c r="D13" i="3"/>
  <c r="D14" i="3" s="1"/>
  <c r="D18" i="3" s="1"/>
  <c r="D21" i="3" s="1"/>
  <c r="C13" i="3"/>
  <c r="C14" i="3" s="1"/>
  <c r="C18" i="3" s="1"/>
  <c r="E13" i="3" l="1"/>
  <c r="E14" i="3"/>
  <c r="E18" i="3" s="1"/>
  <c r="E21" i="3" s="1"/>
  <c r="F12" i="3"/>
  <c r="F10" i="3"/>
  <c r="H6" i="3"/>
  <c r="G9" i="3"/>
  <c r="G17" i="3"/>
  <c r="G7" i="3"/>
  <c r="G11" i="3"/>
  <c r="G15" i="3" s="1"/>
  <c r="G16" i="3"/>
  <c r="G8" i="3"/>
  <c r="G10" i="3" l="1"/>
  <c r="G12" i="3"/>
  <c r="H9" i="3"/>
  <c r="H11" i="3"/>
  <c r="H15" i="3" s="1"/>
  <c r="H16" i="3"/>
  <c r="H8" i="3"/>
  <c r="F13" i="3"/>
  <c r="F14" i="3" s="1"/>
  <c r="F18" i="3" s="1"/>
  <c r="F21" i="3" s="1"/>
  <c r="H10" i="3" l="1"/>
  <c r="H12" i="3"/>
  <c r="G13" i="3"/>
  <c r="G14" i="3" s="1"/>
  <c r="G18" i="3" s="1"/>
  <c r="G21" i="3" s="1"/>
  <c r="H13" i="3" l="1"/>
  <c r="H14" i="3"/>
  <c r="H18" i="3" s="1"/>
  <c r="C24" i="3" l="1"/>
  <c r="C25" i="3" s="1"/>
  <c r="C26" i="3" s="1"/>
  <c r="C30" i="3" s="1"/>
  <c r="H21" i="3"/>
  <c r="C29" i="3" s="1"/>
  <c r="C31" i="3" s="1"/>
  <c r="C33" i="3" s="1"/>
  <c r="C35" i="3" s="1"/>
  <c r="C6" i="5" l="1"/>
  <c r="E6" i="5"/>
  <c r="D6" i="5"/>
</calcChain>
</file>

<file path=xl/sharedStrings.xml><?xml version="1.0" encoding="utf-8"?>
<sst xmlns="http://schemas.openxmlformats.org/spreadsheetml/2006/main" count="177" uniqueCount="147">
  <si>
    <t>LULULEMON ATHLETICA (LULU)</t>
  </si>
  <si>
    <t>Equity Valuation &amp; Competitive Analysis</t>
  </si>
  <si>
    <t>FIN 4395 — Capstone Senior Project in Finance | UT Dallas</t>
  </si>
  <si>
    <t>Analyst: Ryan Neumann</t>
  </si>
  <si>
    <t>Sheet</t>
  </si>
  <si>
    <t>Description</t>
  </si>
  <si>
    <t>Cover</t>
  </si>
  <si>
    <t>Navigation, project overview</t>
  </si>
  <si>
    <t>Assumptions</t>
  </si>
  <si>
    <t>All model inputs (revenue growth, margins, WACC, etc.)</t>
  </si>
  <si>
    <t>DCF Model</t>
  </si>
  <si>
    <t>10-year projection + terminal value + equity bridge</t>
  </si>
  <si>
    <t>Comps</t>
  </si>
  <si>
    <t>EV/EBITDA, P/E, EV/Revenue multiples for 8 peers</t>
  </si>
  <si>
    <t>Football Field</t>
  </si>
  <si>
    <t>Summary valuation range chart</t>
  </si>
  <si>
    <t>Sensitivity</t>
  </si>
  <si>
    <t>WACC × Terminal Growth Rate sensitivity tables</t>
  </si>
  <si>
    <t>MODEL ASSUMPTIONS — LULULEMON (LULU)</t>
  </si>
  <si>
    <t>Blue = hardcoded input  |  Black = calculated</t>
  </si>
  <si>
    <t>REVENUE GROWTH ASSUMPTIONS</t>
  </si>
  <si>
    <t>FY2024A Revenue ($mm)</t>
  </si>
  <si>
    <t>Source: LULU 10-K FY2024</t>
  </si>
  <si>
    <t>FY2025E Growth Rate</t>
  </si>
  <si>
    <t>Analyst estimate</t>
  </si>
  <si>
    <t>FY2026E Growth Rate</t>
  </si>
  <si>
    <t>FY2027E Growth Rate</t>
  </si>
  <si>
    <t>FY2028E Growth Rate</t>
  </si>
  <si>
    <t>FY2029E Growth Rate</t>
  </si>
  <si>
    <t>Terminal Growth Rate</t>
  </si>
  <si>
    <t>Long-run GDP proxy</t>
  </si>
  <si>
    <t>MARGIN ASSUMPTIONS</t>
  </si>
  <si>
    <t>Gross Margin</t>
  </si>
  <si>
    <t>EBITDA Margin</t>
  </si>
  <si>
    <t>D&amp;A (% of Revenue)</t>
  </si>
  <si>
    <t>Historical avg</t>
  </si>
  <si>
    <t>EBIT Margin</t>
  </si>
  <si>
    <t>Calculated</t>
  </si>
  <si>
    <t>Tax Rate</t>
  </si>
  <si>
    <t>Effective rate FY2024</t>
  </si>
  <si>
    <t>Net Income Margin</t>
  </si>
  <si>
    <t>BALANCE SHEET / FCF ASSUMPTIONS</t>
  </si>
  <si>
    <t>CapEx (% of Revenue)</t>
  </si>
  <si>
    <t>Change in NWC (% of Rev Δ)</t>
  </si>
  <si>
    <t>WACC ASSUMPTIONS</t>
  </si>
  <si>
    <t>Risk-Free Rate</t>
  </si>
  <si>
    <t>10-yr UST yield</t>
  </si>
  <si>
    <t>Equity Risk Premium</t>
  </si>
  <si>
    <t>Damodaran estimate</t>
  </si>
  <si>
    <t>Beta (LULU)</t>
  </si>
  <si>
    <t>Source: Bloomberg</t>
  </si>
  <si>
    <t>Cost of Equity</t>
  </si>
  <si>
    <t>CAPM</t>
  </si>
  <si>
    <t>Pre-Tax Cost of Debt</t>
  </si>
  <si>
    <t>Debt Weight</t>
  </si>
  <si>
    <t>Market-value based</t>
  </si>
  <si>
    <t>Equity Weight</t>
  </si>
  <si>
    <t>WACC</t>
  </si>
  <si>
    <t>VALUATION MULTIPLES (for Comps sheet)</t>
  </si>
  <si>
    <t>EV/EBITDA — Entry Multiple</t>
  </si>
  <si>
    <t>Based on peer median</t>
  </si>
  <si>
    <t>EV/Revenue — Entry Multiple</t>
  </si>
  <si>
    <t>DISCOUNTED CASH FLOW MODEL — LULULEMON ATHLETICA (LULU)</t>
  </si>
  <si>
    <t>$ in millions unless noted | Fiscal year ends January</t>
  </si>
  <si>
    <t>($mm)</t>
  </si>
  <si>
    <t>FY2024A</t>
  </si>
  <si>
    <t>FY2025E</t>
  </si>
  <si>
    <t>FY2026E</t>
  </si>
  <si>
    <t>FY2027E</t>
  </si>
  <si>
    <t>FY2028E</t>
  </si>
  <si>
    <t>FY2029E</t>
  </si>
  <si>
    <t>Revenue</t>
  </si>
  <si>
    <t xml:space="preserve">  YoY Growth</t>
  </si>
  <si>
    <t>Gross Profit</t>
  </si>
  <si>
    <t>EBITDA</t>
  </si>
  <si>
    <t xml:space="preserve">  EBITDA Margin</t>
  </si>
  <si>
    <t>Less: D&amp;A</t>
  </si>
  <si>
    <t>EBIT</t>
  </si>
  <si>
    <t>Less: Taxes</t>
  </si>
  <si>
    <t>NOPAT</t>
  </si>
  <si>
    <t>Add-back: D&amp;A</t>
  </si>
  <si>
    <t>Less: CapEx</t>
  </si>
  <si>
    <t>Less: Change in NWC</t>
  </si>
  <si>
    <t>-</t>
  </si>
  <si>
    <t>Free Cash Flow to Firm (FCFF)</t>
  </si>
  <si>
    <t>Discount Period</t>
  </si>
  <si>
    <t>PV of FCFF</t>
  </si>
  <si>
    <t>TERMINAL VALUE</t>
  </si>
  <si>
    <t>Terminal Year FCFF</t>
  </si>
  <si>
    <t>Terminal Value (Gordon Growth)</t>
  </si>
  <si>
    <t>PV of Terminal Value</t>
  </si>
  <si>
    <t>ENTERPRISE VALUE BRIDGE</t>
  </si>
  <si>
    <t>Sum of PV (FCFF, FY25-FY29)</t>
  </si>
  <si>
    <t>Enterprise Value</t>
  </si>
  <si>
    <t>Less: Net Debt</t>
  </si>
  <si>
    <t>Equity Value</t>
  </si>
  <si>
    <t>Diluted Shares Outstanding (mm)</t>
  </si>
  <si>
    <t>Implied Share Price</t>
  </si>
  <si>
    <t>COMPARABLE COMPANY ANALYSIS — LULULEMON (LULU)</t>
  </si>
  <si>
    <t>$ in millions | LTM figures | Source: Bloomberg / Company Filings</t>
  </si>
  <si>
    <t>Company</t>
  </si>
  <si>
    <t>Ticker</t>
  </si>
  <si>
    <t>Mkt Cap ($mm)</t>
  </si>
  <si>
    <t>EV ($mm)</t>
  </si>
  <si>
    <t>Revenue ($mm)</t>
  </si>
  <si>
    <t>EBITDA ($mm)</t>
  </si>
  <si>
    <t>EV/EBITDA</t>
  </si>
  <si>
    <t>EV/Revenue</t>
  </si>
  <si>
    <t>P/E</t>
  </si>
  <si>
    <t>Lululemon</t>
  </si>
  <si>
    <t>LULU</t>
  </si>
  <si>
    <t>Nike</t>
  </si>
  <si>
    <t>NKE</t>
  </si>
  <si>
    <t>Adidas</t>
  </si>
  <si>
    <t>ADDYY</t>
  </si>
  <si>
    <t>Under Armour</t>
  </si>
  <si>
    <t>UAA</t>
  </si>
  <si>
    <t>Athleta / Gap</t>
  </si>
  <si>
    <t>GPS</t>
  </si>
  <si>
    <t>On Holding</t>
  </si>
  <si>
    <t>ONON</t>
  </si>
  <si>
    <t>Deckers Outdoor</t>
  </si>
  <si>
    <t>DECK</t>
  </si>
  <si>
    <t>VF Corporation</t>
  </si>
  <si>
    <t>VFC</t>
  </si>
  <si>
    <t>Mean</t>
  </si>
  <si>
    <t>Median</t>
  </si>
  <si>
    <t>High</t>
  </si>
  <si>
    <t>Low</t>
  </si>
  <si>
    <t>LULU COMPS-DERIVED PRICE TARGET</t>
  </si>
  <si>
    <t>EV/EBITDA — Median Multiple</t>
  </si>
  <si>
    <t>Implied EV ($mm)</t>
  </si>
  <si>
    <t>EV/Revenue — Median Multiple</t>
  </si>
  <si>
    <t>Implied share price ranges by methodology</t>
  </si>
  <si>
    <t>Methodology</t>
  </si>
  <si>
    <t>Mid</t>
  </si>
  <si>
    <t>DCF (Base Case)</t>
  </si>
  <si>
    <t>EV/EBITDA Comps</t>
  </si>
  <si>
    <t>EV/Revenue Comps</t>
  </si>
  <si>
    <t>52-Week Range</t>
  </si>
  <si>
    <t>Analyst Consensus</t>
  </si>
  <si>
    <t>SENSITIVITY ANALYSIS — DCF IMPLIED SHARE PRICE</t>
  </si>
  <si>
    <t>Implied share price ($) | Rows = WACC | Cols = Terminal Growth Rate</t>
  </si>
  <si>
    <t>WACC \ TGR</t>
  </si>
  <si>
    <t>Note: Green = premium to current price | Red = discount | Sensitivity built around base WACC 9.0%, TGR 3.0%</t>
  </si>
  <si>
    <t xml:space="preserve"> VALUATION SUMMARY</t>
  </si>
  <si>
    <t>Date: Spring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</si>
</sst>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&quot;($&quot;#,##0\);\-"/>
    <numFmt numFmtId="165" formatCode="0.0%;\(0.0%\);\-"/>
    <numFmt numFmtId="166" formatCode="0.0\x"/>
    <numFmt numFmtId="167" formatCode="#,##0.0"/>
    <numFmt numFmtId="168" formatCode="\$#,##0.00"/>
    <numFmt numFmtId="169" formatCode="\$#,##0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1F3864"/>
      <name val="Arial"/>
      <family val="2"/>
    </font>
    <font>
      <sz val="13"/>
      <color rgb="FF2E5797"/>
      <name val="Arial"/>
      <family val="2"/>
    </font>
    <font>
      <sz val="10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3"/>
      <color rgb="FF1F3864"/>
      <name val="Arial"/>
      <family val="2"/>
    </font>
    <font>
      <sz val="9"/>
      <color rgb="FF595959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1F3864"/>
      <name val="Arial"/>
      <family val="2"/>
    </font>
    <font>
      <sz val="10"/>
      <color rgb="FF27622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E5797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2E5797"/>
        <bgColor rgb="FF1F3864"/>
      </patternFill>
    </fill>
    <fill>
      <patternFill patternType="solid">
        <fgColor rgb="FFC6EFCE"/>
        <bgColor rgb="FFD9E1F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double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7" fillId="2" borderId="0" xfId="0" applyFont="1" applyFill="1"/>
    <xf numFmtId="0" fontId="6" fillId="3" borderId="0" xfId="0" applyFont="1" applyFill="1"/>
    <xf numFmtId="0" fontId="8" fillId="0" borderId="0" xfId="0" applyFont="1"/>
    <xf numFmtId="0" fontId="9" fillId="0" borderId="0" xfId="0" applyFont="1"/>
    <xf numFmtId="0" fontId="0" fillId="2" borderId="0" xfId="0" applyFill="1"/>
    <xf numFmtId="0" fontId="10" fillId="3" borderId="0" xfId="0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5" fontId="11" fillId="0" borderId="0" xfId="0" applyNumberFormat="1" applyFont="1" applyAlignment="1">
      <alignment horizontal="right" vertical="center"/>
    </xf>
    <xf numFmtId="165" fontId="11" fillId="3" borderId="0" xfId="0" applyNumberFormat="1" applyFont="1" applyFill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2" fontId="11" fillId="3" borderId="0" xfId="0" applyNumberFormat="1" applyFont="1" applyFill="1" applyAlignment="1">
      <alignment horizontal="right" vertical="center"/>
    </xf>
    <xf numFmtId="165" fontId="10" fillId="3" borderId="0" xfId="0" applyNumberFormat="1" applyFont="1" applyFill="1" applyAlignment="1">
      <alignment horizontal="right" vertical="center"/>
    </xf>
    <xf numFmtId="166" fontId="11" fillId="3" borderId="0" xfId="0" applyNumberFormat="1" applyFont="1" applyFill="1" applyAlignment="1">
      <alignment horizontal="right" vertical="center"/>
    </xf>
    <xf numFmtId="166" fontId="11" fillId="0" borderId="0" xfId="0" applyNumberFormat="1" applyFont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13" fillId="0" borderId="0" xfId="0" applyFont="1"/>
    <xf numFmtId="164" fontId="14" fillId="0" borderId="0" xfId="0" applyNumberFormat="1" applyFont="1"/>
    <xf numFmtId="164" fontId="10" fillId="0" borderId="0" xfId="0" applyNumberFormat="1" applyFont="1"/>
    <xf numFmtId="0" fontId="10" fillId="0" borderId="0" xfId="0" applyFont="1"/>
    <xf numFmtId="165" fontId="4" fillId="0" borderId="0" xfId="0" applyNumberFormat="1" applyFont="1"/>
    <xf numFmtId="164" fontId="5" fillId="0" borderId="2" xfId="0" applyNumberFormat="1" applyFont="1" applyBorder="1"/>
    <xf numFmtId="0" fontId="11" fillId="0" borderId="0" xfId="0" applyFont="1"/>
    <xf numFmtId="0" fontId="15" fillId="4" borderId="0" xfId="0" applyFont="1" applyFill="1"/>
    <xf numFmtId="164" fontId="5" fillId="0" borderId="3" xfId="0" applyNumberFormat="1" applyFont="1" applyBorder="1"/>
    <xf numFmtId="164" fontId="11" fillId="0" borderId="0" xfId="0" applyNumberFormat="1" applyFont="1"/>
    <xf numFmtId="0" fontId="12" fillId="0" borderId="0" xfId="0" applyFont="1"/>
    <xf numFmtId="164" fontId="5" fillId="0" borderId="0" xfId="0" applyNumberFormat="1" applyFont="1"/>
    <xf numFmtId="167" fontId="11" fillId="0" borderId="0" xfId="0" applyNumberFormat="1" applyFont="1"/>
    <xf numFmtId="168" fontId="15" fillId="4" borderId="3" xfId="0" applyNumberFormat="1" applyFont="1" applyFill="1" applyBorder="1"/>
    <xf numFmtId="0" fontId="7" fillId="2" borderId="4" xfId="0" applyFont="1" applyFill="1" applyBorder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Alignment="1">
      <alignment horizontal="center" vertical="center"/>
    </xf>
    <xf numFmtId="166" fontId="10" fillId="3" borderId="0" xfId="0" applyNumberFormat="1" applyFont="1" applyFill="1"/>
    <xf numFmtId="0" fontId="4" fillId="3" borderId="0" xfId="0" applyFont="1" applyFill="1" applyAlignment="1">
      <alignment horizontal="center" vertical="center"/>
    </xf>
    <xf numFmtId="0" fontId="6" fillId="5" borderId="0" xfId="0" applyFont="1" applyFill="1"/>
    <xf numFmtId="0" fontId="6" fillId="5" borderId="0" xfId="0" applyFont="1" applyFill="1" applyAlignment="1">
      <alignment horizontal="center" vertical="center"/>
    </xf>
    <xf numFmtId="164" fontId="11" fillId="5" borderId="0" xfId="0" applyNumberFormat="1" applyFont="1" applyFill="1" applyAlignment="1">
      <alignment horizontal="right" vertical="center"/>
    </xf>
    <xf numFmtId="166" fontId="10" fillId="5" borderId="0" xfId="0" applyNumberFormat="1" applyFont="1" applyFill="1"/>
    <xf numFmtId="0" fontId="4" fillId="5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4" borderId="0" xfId="0" applyFont="1" applyFill="1"/>
    <xf numFmtId="166" fontId="13" fillId="4" borderId="0" xfId="0" applyNumberFormat="1" applyFont="1" applyFill="1"/>
    <xf numFmtId="166" fontId="14" fillId="0" borderId="0" xfId="0" applyNumberFormat="1" applyFont="1"/>
    <xf numFmtId="168" fontId="15" fillId="0" borderId="0" xfId="0" applyNumberFormat="1" applyFont="1"/>
    <xf numFmtId="0" fontId="10" fillId="3" borderId="0" xfId="0" applyFont="1" applyFill="1"/>
    <xf numFmtId="168" fontId="14" fillId="3" borderId="0" xfId="0" applyNumberFormat="1" applyFont="1" applyFill="1" applyAlignment="1">
      <alignment horizontal="right" vertical="center"/>
    </xf>
    <xf numFmtId="0" fontId="10" fillId="5" borderId="0" xfId="0" applyFont="1" applyFill="1"/>
    <xf numFmtId="168" fontId="14" fillId="5" borderId="0" xfId="0" applyNumberFormat="1" applyFont="1" applyFill="1" applyAlignment="1">
      <alignment horizontal="right" vertical="center"/>
    </xf>
    <xf numFmtId="168" fontId="11" fillId="5" borderId="0" xfId="0" applyNumberFormat="1" applyFont="1" applyFill="1" applyAlignment="1">
      <alignment horizontal="right" vertical="center"/>
    </xf>
    <xf numFmtId="168" fontId="11" fillId="3" borderId="0" xfId="0" applyNumberFormat="1" applyFont="1" applyFill="1" applyAlignment="1">
      <alignment horizontal="right" vertical="center"/>
    </xf>
    <xf numFmtId="165" fontId="7" fillId="2" borderId="0" xfId="0" applyNumberFormat="1" applyFont="1" applyFill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/>
    </xf>
    <xf numFmtId="169" fontId="10" fillId="3" borderId="0" xfId="0" applyNumberFormat="1" applyFont="1" applyFill="1" applyAlignment="1">
      <alignment horizontal="center" vertical="center"/>
    </xf>
    <xf numFmtId="169" fontId="16" fillId="7" borderId="0" xfId="0" applyNumberFormat="1" applyFont="1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797"/>
      <rgbColor rgb="FF2762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"/>
  <sheetViews>
    <sheetView showGridLines="0" zoomScaleNormal="100" workbookViewId="0">
      <selection activeCell="B7" sqref="B7"/>
    </sheetView>
  </sheetViews>
  <sheetFormatPr defaultColWidth="8.7109375" defaultRowHeight="15" x14ac:dyDescent="0.25"/>
  <cols>
    <col min="1" max="1" width="3" customWidth="1"/>
    <col min="2" max="2" width="40" customWidth="1"/>
    <col min="3" max="3" width="48.7109375" bestFit="1" customWidth="1"/>
  </cols>
  <sheetData>
    <row r="2" spans="2:3" ht="30" customHeight="1" x14ac:dyDescent="0.35">
      <c r="B2" s="1" t="s">
        <v>0</v>
      </c>
    </row>
    <row r="3" spans="2:3" ht="15.75" customHeight="1" x14ac:dyDescent="0.25">
      <c r="B3" s="2" t="s">
        <v>1</v>
      </c>
    </row>
    <row r="4" spans="2:3" ht="15" customHeight="1" x14ac:dyDescent="0.25">
      <c r="B4" s="3" t="s">
        <v>2</v>
      </c>
    </row>
    <row r="5" spans="2:3" ht="15" customHeight="1" x14ac:dyDescent="0.25">
      <c r="B5" s="4" t="s">
        <v>3</v>
      </c>
    </row>
    <row r="6" spans="2:3" ht="15" customHeight="1" x14ac:dyDescent="0.25">
      <c r="B6" s="63" t="s">
        <v>146</v>
      </c>
    </row>
    <row r="8" spans="2:3" ht="4.5" customHeight="1" x14ac:dyDescent="0.25">
      <c r="B8" s="6"/>
      <c r="C8" s="6"/>
    </row>
    <row r="10" spans="2:3" ht="15" customHeight="1" x14ac:dyDescent="0.25">
      <c r="B10" s="7" t="s">
        <v>4</v>
      </c>
      <c r="C10" s="7" t="s">
        <v>5</v>
      </c>
    </row>
    <row r="11" spans="2:3" ht="15" customHeight="1" x14ac:dyDescent="0.25">
      <c r="B11" s="5" t="s">
        <v>6</v>
      </c>
      <c r="C11" s="5" t="s">
        <v>7</v>
      </c>
    </row>
    <row r="12" spans="2:3" ht="15" customHeight="1" x14ac:dyDescent="0.25">
      <c r="B12" s="8" t="s">
        <v>8</v>
      </c>
      <c r="C12" s="8" t="s">
        <v>9</v>
      </c>
    </row>
    <row r="13" spans="2:3" ht="15" customHeight="1" x14ac:dyDescent="0.25">
      <c r="B13" s="5" t="s">
        <v>10</v>
      </c>
      <c r="C13" s="5" t="s">
        <v>11</v>
      </c>
    </row>
    <row r="14" spans="2:3" ht="15" customHeight="1" x14ac:dyDescent="0.25">
      <c r="B14" s="8" t="s">
        <v>12</v>
      </c>
      <c r="C14" s="8" t="s">
        <v>13</v>
      </c>
    </row>
    <row r="15" spans="2:3" ht="15" customHeight="1" x14ac:dyDescent="0.25">
      <c r="B15" s="5" t="s">
        <v>14</v>
      </c>
      <c r="C15" s="5" t="s">
        <v>15</v>
      </c>
    </row>
    <row r="16" spans="2:3" ht="15" customHeight="1" x14ac:dyDescent="0.25">
      <c r="B16" s="8" t="s">
        <v>16</v>
      </c>
      <c r="C16" s="8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9"/>
  <sheetViews>
    <sheetView showGridLines="0" topLeftCell="A21" zoomScaleNormal="100" workbookViewId="0"/>
  </sheetViews>
  <sheetFormatPr defaultColWidth="8.7109375" defaultRowHeight="15" x14ac:dyDescent="0.25"/>
  <cols>
    <col min="1" max="1" width="3" customWidth="1"/>
    <col min="2" max="2" width="36" customWidth="1"/>
    <col min="3" max="3" width="16" customWidth="1"/>
    <col min="4" max="4" width="22" customWidth="1"/>
  </cols>
  <sheetData>
    <row r="2" spans="2:4" ht="15.75" customHeight="1" x14ac:dyDescent="0.25">
      <c r="B2" s="9" t="s">
        <v>18</v>
      </c>
    </row>
    <row r="3" spans="2:4" ht="15" customHeight="1" x14ac:dyDescent="0.25">
      <c r="B3" s="10" t="s">
        <v>19</v>
      </c>
    </row>
    <row r="5" spans="2:4" ht="15" customHeight="1" x14ac:dyDescent="0.25">
      <c r="B5" s="7" t="s">
        <v>20</v>
      </c>
      <c r="C5" s="11"/>
      <c r="D5" s="11"/>
    </row>
    <row r="6" spans="2:4" ht="15" customHeight="1" x14ac:dyDescent="0.25">
      <c r="B6" s="12" t="s">
        <v>21</v>
      </c>
      <c r="C6" s="13">
        <v>10583</v>
      </c>
      <c r="D6" s="14" t="s">
        <v>22</v>
      </c>
    </row>
    <row r="7" spans="2:4" ht="15" customHeight="1" x14ac:dyDescent="0.25">
      <c r="B7" s="15" t="s">
        <v>23</v>
      </c>
      <c r="C7" s="16">
        <v>0.12</v>
      </c>
      <c r="D7" s="14" t="s">
        <v>24</v>
      </c>
    </row>
    <row r="8" spans="2:4" ht="15" customHeight="1" x14ac:dyDescent="0.25">
      <c r="B8" s="12" t="s">
        <v>25</v>
      </c>
      <c r="C8" s="17">
        <v>0.11</v>
      </c>
      <c r="D8" s="14" t="s">
        <v>24</v>
      </c>
    </row>
    <row r="9" spans="2:4" ht="15" customHeight="1" x14ac:dyDescent="0.25">
      <c r="B9" s="15" t="s">
        <v>26</v>
      </c>
      <c r="C9" s="16">
        <v>0.1</v>
      </c>
      <c r="D9" s="14" t="s">
        <v>24</v>
      </c>
    </row>
    <row r="10" spans="2:4" ht="15" customHeight="1" x14ac:dyDescent="0.25">
      <c r="B10" s="12" t="s">
        <v>27</v>
      </c>
      <c r="C10" s="17">
        <v>0.09</v>
      </c>
      <c r="D10" s="14" t="s">
        <v>24</v>
      </c>
    </row>
    <row r="11" spans="2:4" ht="15" customHeight="1" x14ac:dyDescent="0.25">
      <c r="B11" s="15" t="s">
        <v>28</v>
      </c>
      <c r="C11" s="16">
        <v>0.08</v>
      </c>
      <c r="D11" s="14" t="s">
        <v>24</v>
      </c>
    </row>
    <row r="12" spans="2:4" ht="15" customHeight="1" x14ac:dyDescent="0.25">
      <c r="B12" s="12" t="s">
        <v>29</v>
      </c>
      <c r="C12" s="17">
        <v>0.03</v>
      </c>
      <c r="D12" s="14" t="s">
        <v>30</v>
      </c>
    </row>
    <row r="14" spans="2:4" ht="15" customHeight="1" x14ac:dyDescent="0.25">
      <c r="B14" s="7" t="s">
        <v>31</v>
      </c>
      <c r="C14" s="11"/>
      <c r="D14" s="11"/>
    </row>
    <row r="15" spans="2:4" ht="15" customHeight="1" x14ac:dyDescent="0.25">
      <c r="B15" s="12" t="s">
        <v>32</v>
      </c>
      <c r="C15" s="17">
        <v>0.57499999999999996</v>
      </c>
      <c r="D15" s="14" t="s">
        <v>22</v>
      </c>
    </row>
    <row r="16" spans="2:4" ht="15" customHeight="1" x14ac:dyDescent="0.25">
      <c r="B16" s="15" t="s">
        <v>33</v>
      </c>
      <c r="C16" s="16">
        <v>0.245</v>
      </c>
      <c r="D16" s="14" t="s">
        <v>24</v>
      </c>
    </row>
    <row r="17" spans="2:4" ht="15" customHeight="1" x14ac:dyDescent="0.25">
      <c r="B17" s="12" t="s">
        <v>34</v>
      </c>
      <c r="C17" s="17">
        <v>4.4999999999999998E-2</v>
      </c>
      <c r="D17" s="14" t="s">
        <v>35</v>
      </c>
    </row>
    <row r="18" spans="2:4" ht="15" customHeight="1" x14ac:dyDescent="0.25">
      <c r="B18" s="15" t="s">
        <v>36</v>
      </c>
      <c r="C18" s="18">
        <f>C15-C17</f>
        <v>0.52999999999999992</v>
      </c>
      <c r="D18" s="14" t="s">
        <v>37</v>
      </c>
    </row>
    <row r="19" spans="2:4" ht="15" customHeight="1" x14ac:dyDescent="0.25">
      <c r="B19" s="12" t="s">
        <v>38</v>
      </c>
      <c r="C19" s="17">
        <v>0.26500000000000001</v>
      </c>
      <c r="D19" s="14" t="s">
        <v>39</v>
      </c>
    </row>
    <row r="20" spans="2:4" ht="15" customHeight="1" x14ac:dyDescent="0.25">
      <c r="B20" s="15" t="s">
        <v>40</v>
      </c>
      <c r="C20" s="16">
        <v>0.16500000000000001</v>
      </c>
      <c r="D20" s="14" t="s">
        <v>22</v>
      </c>
    </row>
    <row r="22" spans="2:4" ht="15" customHeight="1" x14ac:dyDescent="0.25">
      <c r="B22" s="7" t="s">
        <v>41</v>
      </c>
      <c r="C22" s="11"/>
      <c r="D22" s="11"/>
    </row>
    <row r="23" spans="2:4" ht="15" customHeight="1" x14ac:dyDescent="0.25">
      <c r="B23" s="12" t="s">
        <v>42</v>
      </c>
      <c r="C23" s="17">
        <v>5.5E-2</v>
      </c>
      <c r="D23" s="14" t="s">
        <v>22</v>
      </c>
    </row>
    <row r="24" spans="2:4" ht="15" customHeight="1" x14ac:dyDescent="0.25">
      <c r="B24" s="15" t="s">
        <v>43</v>
      </c>
      <c r="C24" s="16">
        <v>0.04</v>
      </c>
      <c r="D24" s="14" t="s">
        <v>24</v>
      </c>
    </row>
    <row r="26" spans="2:4" ht="15" customHeight="1" x14ac:dyDescent="0.25">
      <c r="B26" s="7" t="s">
        <v>44</v>
      </c>
      <c r="C26" s="11"/>
      <c r="D26" s="11"/>
    </row>
    <row r="27" spans="2:4" ht="15" customHeight="1" x14ac:dyDescent="0.25">
      <c r="B27" s="12" t="s">
        <v>45</v>
      </c>
      <c r="C27" s="17">
        <v>4.2999999999999997E-2</v>
      </c>
      <c r="D27" s="14" t="s">
        <v>46</v>
      </c>
    </row>
    <row r="28" spans="2:4" ht="15" customHeight="1" x14ac:dyDescent="0.25">
      <c r="B28" s="15" t="s">
        <v>47</v>
      </c>
      <c r="C28" s="16">
        <v>5.5E-2</v>
      </c>
      <c r="D28" s="14" t="s">
        <v>48</v>
      </c>
    </row>
    <row r="29" spans="2:4" ht="15" customHeight="1" x14ac:dyDescent="0.25">
      <c r="B29" s="12" t="s">
        <v>49</v>
      </c>
      <c r="C29" s="19">
        <v>1.42</v>
      </c>
      <c r="D29" s="14" t="s">
        <v>50</v>
      </c>
    </row>
    <row r="30" spans="2:4" ht="15" customHeight="1" x14ac:dyDescent="0.25">
      <c r="B30" s="15" t="s">
        <v>51</v>
      </c>
      <c r="C30" s="18">
        <f>C27+C29*C28</f>
        <v>0.1211</v>
      </c>
      <c r="D30" s="14" t="s">
        <v>52</v>
      </c>
    </row>
    <row r="31" spans="2:4" ht="15" customHeight="1" x14ac:dyDescent="0.25">
      <c r="B31" s="12" t="s">
        <v>53</v>
      </c>
      <c r="C31" s="17">
        <v>5.5E-2</v>
      </c>
      <c r="D31" s="14" t="s">
        <v>24</v>
      </c>
    </row>
    <row r="32" spans="2:4" ht="15" customHeight="1" x14ac:dyDescent="0.25">
      <c r="B32" s="15" t="s">
        <v>54</v>
      </c>
      <c r="C32" s="16">
        <v>0.08</v>
      </c>
      <c r="D32" s="14" t="s">
        <v>55</v>
      </c>
    </row>
    <row r="33" spans="2:4" ht="15" customHeight="1" x14ac:dyDescent="0.25">
      <c r="B33" s="12" t="s">
        <v>56</v>
      </c>
      <c r="C33" s="20">
        <f>1-C32</f>
        <v>0.92</v>
      </c>
      <c r="D33" s="14" t="s">
        <v>37</v>
      </c>
    </row>
    <row r="34" spans="2:4" ht="15" customHeight="1" x14ac:dyDescent="0.25">
      <c r="B34" s="15" t="s">
        <v>57</v>
      </c>
      <c r="C34" s="18">
        <f>C30*C33+C31*(1-C19)*C32</f>
        <v>0.11464600000000001</v>
      </c>
      <c r="D34" s="14" t="s">
        <v>37</v>
      </c>
    </row>
    <row r="37" spans="2:4" ht="15" customHeight="1" x14ac:dyDescent="0.25">
      <c r="B37" s="7" t="s">
        <v>58</v>
      </c>
      <c r="C37" s="11"/>
      <c r="D37" s="11"/>
    </row>
    <row r="38" spans="2:4" ht="15" customHeight="1" x14ac:dyDescent="0.25">
      <c r="B38" s="12" t="s">
        <v>59</v>
      </c>
      <c r="C38" s="21">
        <v>25</v>
      </c>
      <c r="D38" s="14" t="s">
        <v>60</v>
      </c>
    </row>
    <row r="39" spans="2:4" ht="15" customHeight="1" x14ac:dyDescent="0.25">
      <c r="B39" s="15" t="s">
        <v>61</v>
      </c>
      <c r="C39" s="22">
        <v>4.5</v>
      </c>
      <c r="D39" s="14" t="s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5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2" customWidth="1"/>
    <col min="3" max="14" width="13" customWidth="1"/>
  </cols>
  <sheetData>
    <row r="2" spans="2:8" ht="15.75" customHeight="1" x14ac:dyDescent="0.25">
      <c r="B2" s="9" t="s">
        <v>62</v>
      </c>
    </row>
    <row r="3" spans="2:8" ht="15" customHeight="1" x14ac:dyDescent="0.25">
      <c r="B3" s="10" t="s">
        <v>63</v>
      </c>
    </row>
    <row r="5" spans="2:8" ht="15" customHeight="1" x14ac:dyDescent="0.25">
      <c r="B5" s="23" t="s">
        <v>64</v>
      </c>
      <c r="C5" s="23" t="s">
        <v>65</v>
      </c>
      <c r="D5" s="23" t="s">
        <v>66</v>
      </c>
      <c r="E5" s="23" t="s">
        <v>67</v>
      </c>
      <c r="F5" s="23" t="s">
        <v>68</v>
      </c>
      <c r="G5" s="23" t="s">
        <v>69</v>
      </c>
      <c r="H5" s="23" t="s">
        <v>70</v>
      </c>
    </row>
    <row r="6" spans="2:8" ht="15" customHeight="1" x14ac:dyDescent="0.25">
      <c r="B6" s="24" t="s">
        <v>71</v>
      </c>
      <c r="C6" s="25">
        <f>Assumptions!C6</f>
        <v>10583</v>
      </c>
      <c r="D6" s="26">
        <f>C6*(1+Assumptions!C7)</f>
        <v>11852.960000000001</v>
      </c>
      <c r="E6" s="26">
        <f>D6*(1+Assumptions!C8)</f>
        <v>13156.785600000003</v>
      </c>
      <c r="F6" s="26">
        <f>E6*(1+Assumptions!C9)</f>
        <v>14472.464160000005</v>
      </c>
      <c r="G6" s="26">
        <f>F6*(1+Assumptions!C10)</f>
        <v>15774.985934400007</v>
      </c>
      <c r="H6" s="27">
        <f>G6*(1+Assumptions!C11)</f>
        <v>17036.984809152007</v>
      </c>
    </row>
    <row r="7" spans="2:8" ht="15" customHeight="1" x14ac:dyDescent="0.25">
      <c r="B7" s="3" t="s">
        <v>72</v>
      </c>
      <c r="D7" s="28">
        <f>(D6-C6)/C6</f>
        <v>0.12000000000000009</v>
      </c>
      <c r="E7" s="28">
        <f>(E6-D6)/D6</f>
        <v>0.11000000000000015</v>
      </c>
      <c r="F7" s="28">
        <f>(F6-E6)/E6</f>
        <v>0.10000000000000014</v>
      </c>
      <c r="G7" s="28">
        <f>(G6-F6)/F6</f>
        <v>9.0000000000000108E-2</v>
      </c>
    </row>
    <row r="8" spans="2:8" ht="15" customHeight="1" x14ac:dyDescent="0.25">
      <c r="B8" s="27" t="s">
        <v>73</v>
      </c>
      <c r="C8" s="26">
        <f>C6*Assumptions!$C$15</f>
        <v>6085.2249999999995</v>
      </c>
      <c r="D8" s="26">
        <f>D6*Assumptions!$C$15</f>
        <v>6815.4520000000002</v>
      </c>
      <c r="E8" s="26">
        <f>E6*Assumptions!$C$15</f>
        <v>7565.1517200000008</v>
      </c>
      <c r="F8" s="26">
        <f>F6*Assumptions!$C$15</f>
        <v>8321.6668920000029</v>
      </c>
      <c r="G8" s="26">
        <f>G6*Assumptions!$C$15</f>
        <v>9070.6169122800038</v>
      </c>
      <c r="H8" s="26">
        <f>H6*Assumptions!$C$15</f>
        <v>9796.266265262404</v>
      </c>
    </row>
    <row r="9" spans="2:8" ht="15" customHeight="1" x14ac:dyDescent="0.25">
      <c r="B9" s="24" t="s">
        <v>74</v>
      </c>
      <c r="C9" s="26">
        <f>C6*Assumptions!$C$16</f>
        <v>2592.835</v>
      </c>
      <c r="D9" s="26">
        <f>D6*Assumptions!$C$16</f>
        <v>2903.9752000000003</v>
      </c>
      <c r="E9" s="26">
        <f>E6*Assumptions!$C$16</f>
        <v>3223.4124720000004</v>
      </c>
      <c r="F9" s="26">
        <f>F6*Assumptions!$C$16</f>
        <v>3545.7537192000013</v>
      </c>
      <c r="G9" s="26">
        <f>G6*Assumptions!$C$16</f>
        <v>3864.8715539280015</v>
      </c>
      <c r="H9" s="26">
        <f>H6*Assumptions!$C$16</f>
        <v>4174.0612782422413</v>
      </c>
    </row>
    <row r="10" spans="2:8" ht="15" customHeight="1" x14ac:dyDescent="0.25">
      <c r="B10" s="3" t="s">
        <v>75</v>
      </c>
      <c r="C10" s="28">
        <f t="shared" ref="C10:H10" si="0">C9/C6</f>
        <v>0.245</v>
      </c>
      <c r="D10" s="28">
        <f t="shared" si="0"/>
        <v>0.245</v>
      </c>
      <c r="E10" s="28">
        <f t="shared" si="0"/>
        <v>0.24499999999999997</v>
      </c>
      <c r="F10" s="28">
        <f t="shared" si="0"/>
        <v>0.245</v>
      </c>
      <c r="G10" s="28">
        <f t="shared" si="0"/>
        <v>0.245</v>
      </c>
      <c r="H10" s="28">
        <f t="shared" si="0"/>
        <v>0.24499999999999997</v>
      </c>
    </row>
    <row r="11" spans="2:8" ht="15" customHeight="1" x14ac:dyDescent="0.25">
      <c r="B11" s="27" t="s">
        <v>76</v>
      </c>
      <c r="C11" s="26">
        <f>-C6*Assumptions!$C$17</f>
        <v>-476.23499999999996</v>
      </c>
      <c r="D11" s="26">
        <f>-D6*Assumptions!$C$17</f>
        <v>-533.38319999999999</v>
      </c>
      <c r="E11" s="26">
        <f>-E6*Assumptions!$C$17</f>
        <v>-592.05535200000008</v>
      </c>
      <c r="F11" s="26">
        <f>-F6*Assumptions!$C$17</f>
        <v>-651.26088720000018</v>
      </c>
      <c r="G11" s="26">
        <f>-G6*Assumptions!$C$17</f>
        <v>-709.87436704800029</v>
      </c>
      <c r="H11" s="26">
        <f>-H6*Assumptions!$C$17</f>
        <v>-766.66431641184033</v>
      </c>
    </row>
    <row r="12" spans="2:8" ht="15" customHeight="1" x14ac:dyDescent="0.25">
      <c r="B12" s="24" t="s">
        <v>77</v>
      </c>
      <c r="C12" s="26">
        <f t="shared" ref="C12:H12" si="1">C9+C11</f>
        <v>2116.6</v>
      </c>
      <c r="D12" s="26">
        <f t="shared" si="1"/>
        <v>2370.5920000000006</v>
      </c>
      <c r="E12" s="26">
        <f t="shared" si="1"/>
        <v>2631.3571200000006</v>
      </c>
      <c r="F12" s="26">
        <f t="shared" si="1"/>
        <v>2894.4928320000013</v>
      </c>
      <c r="G12" s="26">
        <f t="shared" si="1"/>
        <v>3154.9971868800012</v>
      </c>
      <c r="H12" s="26">
        <f t="shared" si="1"/>
        <v>3407.3969618304009</v>
      </c>
    </row>
    <row r="13" spans="2:8" ht="15" customHeight="1" x14ac:dyDescent="0.25">
      <c r="B13" s="27" t="s">
        <v>78</v>
      </c>
      <c r="C13" s="26">
        <f>-C12*Assumptions!$C$21</f>
        <v>0</v>
      </c>
      <c r="D13" s="26">
        <f>-D12*Assumptions!$C$21</f>
        <v>0</v>
      </c>
      <c r="E13" s="26">
        <f>-E12*Assumptions!$C$21</f>
        <v>0</v>
      </c>
      <c r="F13" s="26">
        <f>-F12*Assumptions!$C$21</f>
        <v>0</v>
      </c>
      <c r="G13" s="26">
        <f>-G12*Assumptions!$C$21</f>
        <v>0</v>
      </c>
      <c r="H13" s="26">
        <f>-H12*Assumptions!$C$21</f>
        <v>0</v>
      </c>
    </row>
    <row r="14" spans="2:8" ht="15" customHeight="1" x14ac:dyDescent="0.25">
      <c r="B14" s="24" t="s">
        <v>79</v>
      </c>
      <c r="C14" s="26">
        <f t="shared" ref="C14:H14" si="2">C12+C13</f>
        <v>2116.6</v>
      </c>
      <c r="D14" s="26">
        <f t="shared" si="2"/>
        <v>2370.5920000000006</v>
      </c>
      <c r="E14" s="26">
        <f t="shared" si="2"/>
        <v>2631.3571200000006</v>
      </c>
      <c r="F14" s="26">
        <f t="shared" si="2"/>
        <v>2894.4928320000013</v>
      </c>
      <c r="G14" s="26">
        <f t="shared" si="2"/>
        <v>3154.9971868800012</v>
      </c>
      <c r="H14" s="26">
        <f t="shared" si="2"/>
        <v>3407.3969618304009</v>
      </c>
    </row>
    <row r="15" spans="2:8" ht="15" customHeight="1" x14ac:dyDescent="0.25">
      <c r="B15" s="27" t="s">
        <v>80</v>
      </c>
      <c r="C15" s="26">
        <f t="shared" ref="C15:H15" si="3">-C11</f>
        <v>476.23499999999996</v>
      </c>
      <c r="D15" s="26">
        <f t="shared" si="3"/>
        <v>533.38319999999999</v>
      </c>
      <c r="E15" s="26">
        <f t="shared" si="3"/>
        <v>592.05535200000008</v>
      </c>
      <c r="F15" s="26">
        <f t="shared" si="3"/>
        <v>651.26088720000018</v>
      </c>
      <c r="G15" s="26">
        <f t="shared" si="3"/>
        <v>709.87436704800029</v>
      </c>
      <c r="H15" s="26">
        <f t="shared" si="3"/>
        <v>766.66431641184033</v>
      </c>
    </row>
    <row r="16" spans="2:8" ht="15" customHeight="1" x14ac:dyDescent="0.25">
      <c r="B16" s="27" t="s">
        <v>81</v>
      </c>
      <c r="C16" s="26">
        <f>-C6*Assumptions!$C$23</f>
        <v>-582.06500000000005</v>
      </c>
      <c r="D16" s="26">
        <f>-D6*Assumptions!$C$23</f>
        <v>-651.91280000000006</v>
      </c>
      <c r="E16" s="26">
        <f>-E6*Assumptions!$C$23</f>
        <v>-723.6232080000002</v>
      </c>
      <c r="F16" s="26">
        <f>-F6*Assumptions!$C$23</f>
        <v>-795.98552880000022</v>
      </c>
      <c r="G16" s="26">
        <f>-G6*Assumptions!$C$23</f>
        <v>-867.62422639200042</v>
      </c>
      <c r="H16" s="26">
        <f>-H6*Assumptions!$C$23</f>
        <v>-937.03416450336044</v>
      </c>
    </row>
    <row r="17" spans="2:8" ht="15" customHeight="1" x14ac:dyDescent="0.25">
      <c r="B17" s="27" t="s">
        <v>82</v>
      </c>
      <c r="C17" s="27" t="s">
        <v>83</v>
      </c>
      <c r="D17" s="26">
        <f>-(D6-C6)*Assumptions!$C$24</f>
        <v>-50.798400000000036</v>
      </c>
      <c r="E17" s="26">
        <f>-(E6-D6)*Assumptions!$C$24</f>
        <v>-52.15302400000008</v>
      </c>
      <c r="F17" s="26">
        <f>-(F6-E6)*Assumptions!$C$24</f>
        <v>-52.627142400000082</v>
      </c>
      <c r="G17" s="26">
        <f>-(G6-F6)*Assumptions!$C$24</f>
        <v>-52.100870976000081</v>
      </c>
    </row>
    <row r="18" spans="2:8" ht="15" customHeight="1" x14ac:dyDescent="0.25">
      <c r="B18" s="24" t="s">
        <v>84</v>
      </c>
      <c r="C18" s="29">
        <f t="shared" ref="C18:H18" si="4">SUM(C14:C17)</f>
        <v>2010.77</v>
      </c>
      <c r="D18" s="29">
        <f t="shared" si="4"/>
        <v>2201.2640000000006</v>
      </c>
      <c r="E18" s="29">
        <f t="shared" si="4"/>
        <v>2447.6362400000007</v>
      </c>
      <c r="F18" s="29">
        <f t="shared" si="4"/>
        <v>2697.1410480000009</v>
      </c>
      <c r="G18" s="29">
        <f t="shared" si="4"/>
        <v>2945.1464565600013</v>
      </c>
      <c r="H18" s="29">
        <f t="shared" si="4"/>
        <v>3237.0271137388809</v>
      </c>
    </row>
    <row r="20" spans="2:8" ht="15" customHeight="1" x14ac:dyDescent="0.25">
      <c r="B20" s="27" t="s">
        <v>85</v>
      </c>
      <c r="D20" s="30">
        <v>1</v>
      </c>
      <c r="E20" s="30">
        <v>2</v>
      </c>
      <c r="F20" s="30">
        <v>3</v>
      </c>
      <c r="G20" s="30">
        <v>4</v>
      </c>
      <c r="H20" s="30">
        <v>5</v>
      </c>
    </row>
    <row r="21" spans="2:8" ht="15" customHeight="1" x14ac:dyDescent="0.25">
      <c r="B21" s="27" t="s">
        <v>86</v>
      </c>
      <c r="C21" s="27" t="s">
        <v>83</v>
      </c>
      <c r="D21" s="26">
        <f>D18/(1+Assumptions!$C$34)^D20</f>
        <v>1974.8547969489869</v>
      </c>
      <c r="E21" s="26">
        <f>E18/(1+Assumptions!$C$34)^E20</f>
        <v>1970.03050502116</v>
      </c>
      <c r="F21" s="26">
        <f>F18/(1+Assumptions!$C$34)^F20</f>
        <v>1947.5686408442191</v>
      </c>
      <c r="G21" s="26">
        <f>G18/(1+Assumptions!$C$34)^G20</f>
        <v>1907.9151160579713</v>
      </c>
      <c r="H21" s="27">
        <f>H18/(1+Assumptions!$C$34)^H20</f>
        <v>1881.3150416268575</v>
      </c>
    </row>
    <row r="23" spans="2:8" ht="15" customHeight="1" x14ac:dyDescent="0.25">
      <c r="B23" s="31" t="s">
        <v>87</v>
      </c>
    </row>
    <row r="24" spans="2:8" ht="15" customHeight="1" x14ac:dyDescent="0.25">
      <c r="B24" s="27" t="s">
        <v>88</v>
      </c>
      <c r="C24" s="25">
        <f>H18*(1+Assumptions!C12)</f>
        <v>3334.1379271510473</v>
      </c>
    </row>
    <row r="25" spans="2:8" ht="15" customHeight="1" x14ac:dyDescent="0.25">
      <c r="B25" s="27" t="s">
        <v>89</v>
      </c>
      <c r="C25" s="26">
        <f>C24/(Assumptions!C34-Assumptions!C12)</f>
        <v>39389.196502505103</v>
      </c>
    </row>
    <row r="26" spans="2:8" ht="15" customHeight="1" x14ac:dyDescent="0.25">
      <c r="B26" s="27" t="s">
        <v>90</v>
      </c>
      <c r="C26" s="26">
        <f>C25/(1+Assumptions!C34)^5</f>
        <v>22892.452010439512</v>
      </c>
    </row>
    <row r="28" spans="2:8" ht="15" customHeight="1" x14ac:dyDescent="0.25">
      <c r="B28" s="31" t="s">
        <v>91</v>
      </c>
    </row>
    <row r="29" spans="2:8" ht="15" customHeight="1" x14ac:dyDescent="0.25">
      <c r="B29" s="27" t="s">
        <v>92</v>
      </c>
      <c r="C29" s="26">
        <f>SUM(D21:H21)</f>
        <v>9681.6841004991948</v>
      </c>
    </row>
    <row r="30" spans="2:8" ht="15" customHeight="1" x14ac:dyDescent="0.25">
      <c r="B30" s="27" t="s">
        <v>90</v>
      </c>
      <c r="C30" s="25">
        <f>C26</f>
        <v>22892.452010439512</v>
      </c>
    </row>
    <row r="31" spans="2:8" ht="15" customHeight="1" x14ac:dyDescent="0.25">
      <c r="B31" s="24" t="s">
        <v>93</v>
      </c>
      <c r="C31" s="32">
        <f>C29+C30</f>
        <v>32574.136110938707</v>
      </c>
    </row>
    <row r="32" spans="2:8" ht="15" customHeight="1" x14ac:dyDescent="0.25">
      <c r="B32" s="27" t="s">
        <v>94</v>
      </c>
      <c r="C32" s="33">
        <v>785</v>
      </c>
      <c r="D32" s="34" t="s">
        <v>22</v>
      </c>
    </row>
    <row r="33" spans="2:4" ht="15" customHeight="1" x14ac:dyDescent="0.25">
      <c r="B33" s="24" t="s">
        <v>95</v>
      </c>
      <c r="C33" s="35">
        <f>C31-C32</f>
        <v>31789.136110938707</v>
      </c>
    </row>
    <row r="34" spans="2:4" ht="15" customHeight="1" x14ac:dyDescent="0.25">
      <c r="B34" s="27" t="s">
        <v>96</v>
      </c>
      <c r="C34" s="36">
        <v>127.5</v>
      </c>
      <c r="D34" s="34" t="s">
        <v>22</v>
      </c>
    </row>
    <row r="35" spans="2:4" ht="15" customHeight="1" x14ac:dyDescent="0.25">
      <c r="B35" s="24" t="s">
        <v>97</v>
      </c>
      <c r="C35" s="37">
        <f>C33/C34</f>
        <v>249.32655773285259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22"/>
  <sheetViews>
    <sheetView showGridLines="0" zoomScaleNormal="100" workbookViewId="0">
      <selection activeCell="D21" sqref="D21"/>
    </sheetView>
  </sheetViews>
  <sheetFormatPr defaultColWidth="8.7109375" defaultRowHeight="15" x14ac:dyDescent="0.25"/>
  <cols>
    <col min="1" max="1" width="3" customWidth="1"/>
    <col min="2" max="2" width="38.28515625" customWidth="1"/>
    <col min="3" max="3" width="10" customWidth="1"/>
    <col min="4" max="4" width="16.140625" bestFit="1" customWidth="1"/>
    <col min="5" max="5" width="14" customWidth="1"/>
    <col min="6" max="6" width="17.85546875" bestFit="1" customWidth="1"/>
    <col min="7" max="9" width="14" customWidth="1"/>
  </cols>
  <sheetData>
    <row r="2" spans="2:10" ht="15.75" customHeight="1" x14ac:dyDescent="0.25">
      <c r="B2" s="9" t="s">
        <v>98</v>
      </c>
    </row>
    <row r="3" spans="2:10" ht="15" customHeight="1" x14ac:dyDescent="0.25">
      <c r="B3" s="10" t="s">
        <v>99</v>
      </c>
    </row>
    <row r="5" spans="2:10" ht="15" customHeight="1" x14ac:dyDescent="0.25">
      <c r="B5" s="38" t="s">
        <v>100</v>
      </c>
      <c r="C5" s="38" t="s">
        <v>101</v>
      </c>
      <c r="D5" s="38" t="s">
        <v>102</v>
      </c>
      <c r="E5" s="38" t="s">
        <v>103</v>
      </c>
      <c r="F5" s="38" t="s">
        <v>104</v>
      </c>
      <c r="G5" s="38" t="s">
        <v>105</v>
      </c>
      <c r="H5" s="38" t="s">
        <v>106</v>
      </c>
      <c r="I5" s="38" t="s">
        <v>107</v>
      </c>
      <c r="J5" s="38" t="s">
        <v>108</v>
      </c>
    </row>
    <row r="6" spans="2:10" ht="15" customHeight="1" x14ac:dyDescent="0.25">
      <c r="B6" s="39" t="s">
        <v>109</v>
      </c>
      <c r="C6" s="40" t="s">
        <v>110</v>
      </c>
      <c r="D6" s="13">
        <v>35400</v>
      </c>
      <c r="E6" s="13">
        <v>36185</v>
      </c>
      <c r="F6" s="13">
        <v>10583</v>
      </c>
      <c r="G6" s="13">
        <v>2593</v>
      </c>
      <c r="H6" s="41">
        <f t="shared" ref="H6:H13" si="0">IF(G6&lt;&gt;0,E6/G6,"-")</f>
        <v>13.954878519089858</v>
      </c>
      <c r="I6" s="41">
        <f t="shared" ref="I6:I13" si="1">IF(F6&lt;&gt;0,E6/F6,"-")</f>
        <v>3.4191628082774259</v>
      </c>
      <c r="J6" s="42" t="s">
        <v>83</v>
      </c>
    </row>
    <row r="7" spans="2:10" ht="15" customHeight="1" x14ac:dyDescent="0.25">
      <c r="B7" s="43" t="s">
        <v>111</v>
      </c>
      <c r="C7" s="44" t="s">
        <v>112</v>
      </c>
      <c r="D7" s="45">
        <v>96200</v>
      </c>
      <c r="E7" s="45">
        <v>104600</v>
      </c>
      <c r="F7" s="45">
        <v>51362</v>
      </c>
      <c r="G7" s="45">
        <v>6312</v>
      </c>
      <c r="H7" s="46">
        <f t="shared" si="0"/>
        <v>16.571609632446133</v>
      </c>
      <c r="I7" s="46">
        <f t="shared" si="1"/>
        <v>2.0365250574354583</v>
      </c>
      <c r="J7" s="47" t="s">
        <v>83</v>
      </c>
    </row>
    <row r="8" spans="2:10" ht="15" customHeight="1" x14ac:dyDescent="0.25">
      <c r="B8" s="8" t="s">
        <v>113</v>
      </c>
      <c r="C8" s="48" t="s">
        <v>114</v>
      </c>
      <c r="D8" s="13">
        <v>38500</v>
      </c>
      <c r="E8" s="13">
        <v>41800</v>
      </c>
      <c r="F8" s="13">
        <v>24740</v>
      </c>
      <c r="G8" s="13">
        <v>2720</v>
      </c>
      <c r="H8" s="41">
        <f t="shared" si="0"/>
        <v>15.367647058823529</v>
      </c>
      <c r="I8" s="41">
        <f t="shared" si="1"/>
        <v>1.6895715440582053</v>
      </c>
      <c r="J8" s="42" t="s">
        <v>83</v>
      </c>
    </row>
    <row r="9" spans="2:10" ht="15" customHeight="1" x14ac:dyDescent="0.25">
      <c r="B9" s="43" t="s">
        <v>115</v>
      </c>
      <c r="C9" s="44" t="s">
        <v>116</v>
      </c>
      <c r="D9" s="45">
        <v>3500</v>
      </c>
      <c r="E9" s="45">
        <v>4900</v>
      </c>
      <c r="F9" s="45">
        <v>5300</v>
      </c>
      <c r="G9" s="45">
        <v>380</v>
      </c>
      <c r="H9" s="46">
        <f t="shared" si="0"/>
        <v>12.894736842105264</v>
      </c>
      <c r="I9" s="46">
        <f t="shared" si="1"/>
        <v>0.92452830188679247</v>
      </c>
      <c r="J9" s="47" t="s">
        <v>83</v>
      </c>
    </row>
    <row r="10" spans="2:10" ht="15" customHeight="1" x14ac:dyDescent="0.25">
      <c r="B10" s="8" t="s">
        <v>117</v>
      </c>
      <c r="C10" s="48" t="s">
        <v>118</v>
      </c>
      <c r="D10" s="13">
        <v>8200</v>
      </c>
      <c r="E10" s="13">
        <v>9500</v>
      </c>
      <c r="F10" s="13">
        <v>15600</v>
      </c>
      <c r="G10" s="13">
        <v>960</v>
      </c>
      <c r="H10" s="41">
        <f t="shared" si="0"/>
        <v>9.8958333333333339</v>
      </c>
      <c r="I10" s="41">
        <f t="shared" si="1"/>
        <v>0.60897435897435892</v>
      </c>
      <c r="J10" s="42" t="s">
        <v>83</v>
      </c>
    </row>
    <row r="11" spans="2:10" ht="15" customHeight="1" x14ac:dyDescent="0.25">
      <c r="B11" s="43" t="s">
        <v>119</v>
      </c>
      <c r="C11" s="44" t="s">
        <v>120</v>
      </c>
      <c r="D11" s="45">
        <v>27000</v>
      </c>
      <c r="E11" s="45">
        <v>26800</v>
      </c>
      <c r="F11" s="45">
        <v>2540</v>
      </c>
      <c r="G11" s="45">
        <v>380</v>
      </c>
      <c r="H11" s="46">
        <f t="shared" si="0"/>
        <v>70.526315789473685</v>
      </c>
      <c r="I11" s="46">
        <f t="shared" si="1"/>
        <v>10.551181102362206</v>
      </c>
      <c r="J11" s="47" t="s">
        <v>83</v>
      </c>
    </row>
    <row r="12" spans="2:10" ht="15" customHeight="1" x14ac:dyDescent="0.25">
      <c r="B12" s="8" t="s">
        <v>121</v>
      </c>
      <c r="C12" s="48" t="s">
        <v>122</v>
      </c>
      <c r="D12" s="13">
        <v>20000</v>
      </c>
      <c r="E12" s="13">
        <v>19800</v>
      </c>
      <c r="F12" s="13">
        <v>4840</v>
      </c>
      <c r="G12" s="13">
        <v>940</v>
      </c>
      <c r="H12" s="41">
        <f t="shared" si="0"/>
        <v>21.063829787234042</v>
      </c>
      <c r="I12" s="41">
        <f t="shared" si="1"/>
        <v>4.0909090909090908</v>
      </c>
      <c r="J12" s="42" t="s">
        <v>83</v>
      </c>
    </row>
    <row r="13" spans="2:10" ht="15" customHeight="1" x14ac:dyDescent="0.25">
      <c r="B13" s="43" t="s">
        <v>123</v>
      </c>
      <c r="C13" s="44" t="s">
        <v>124</v>
      </c>
      <c r="D13" s="45">
        <v>4100</v>
      </c>
      <c r="E13" s="45">
        <v>8800</v>
      </c>
      <c r="F13" s="45">
        <v>11800</v>
      </c>
      <c r="G13" s="45">
        <v>820</v>
      </c>
      <c r="H13" s="46">
        <f t="shared" si="0"/>
        <v>10.731707317073171</v>
      </c>
      <c r="I13" s="46">
        <f t="shared" si="1"/>
        <v>0.74576271186440679</v>
      </c>
      <c r="J13" s="47" t="s">
        <v>83</v>
      </c>
    </row>
    <row r="15" spans="2:10" ht="15" customHeight="1" x14ac:dyDescent="0.25">
      <c r="B15" s="49" t="s">
        <v>125</v>
      </c>
      <c r="H15" s="50">
        <f>AVERAGE(H7:H14)</f>
        <v>22.435954251498448</v>
      </c>
      <c r="I15" s="50">
        <f>AVERAGE(I7:I14)</f>
        <v>2.949636023927217</v>
      </c>
    </row>
    <row r="16" spans="2:10" ht="15" customHeight="1" x14ac:dyDescent="0.25">
      <c r="B16" s="49" t="s">
        <v>126</v>
      </c>
      <c r="H16" s="50">
        <f>MEDIAN(H7:H14)</f>
        <v>15.367647058823529</v>
      </c>
      <c r="I16" s="50">
        <f>MEDIAN(I7:I14)</f>
        <v>1.6895715440582053</v>
      </c>
    </row>
    <row r="17" spans="2:9" ht="15" customHeight="1" x14ac:dyDescent="0.25">
      <c r="B17" s="49" t="s">
        <v>127</v>
      </c>
      <c r="H17" s="50">
        <f>MAX(H7:H14)</f>
        <v>70.526315789473685</v>
      </c>
      <c r="I17" s="50">
        <f>MAX(I7:I14)</f>
        <v>10.551181102362206</v>
      </c>
    </row>
    <row r="18" spans="2:9" ht="15" customHeight="1" x14ac:dyDescent="0.25">
      <c r="B18" s="49" t="s">
        <v>128</v>
      </c>
      <c r="H18" s="50">
        <f>MIN(H7:H14)</f>
        <v>9.8958333333333339</v>
      </c>
      <c r="I18" s="50">
        <f>MIN(I7:I14)</f>
        <v>0.60897435897435892</v>
      </c>
    </row>
    <row r="20" spans="2:9" ht="15" customHeight="1" x14ac:dyDescent="0.25">
      <c r="B20" s="31" t="s">
        <v>129</v>
      </c>
    </row>
    <row r="21" spans="2:9" ht="15" customHeight="1" x14ac:dyDescent="0.25">
      <c r="B21" s="27" t="s">
        <v>130</v>
      </c>
      <c r="C21" s="51">
        <f>H16</f>
        <v>15.367647058823529</v>
      </c>
      <c r="D21" s="3" t="s">
        <v>131</v>
      </c>
      <c r="E21" s="25">
        <f>C21*'DCF Model'!C9</f>
        <v>39845.773161764708</v>
      </c>
      <c r="F21" s="3" t="s">
        <v>97</v>
      </c>
      <c r="G21" s="52">
        <f>(E21-'DCF Model'!C32)/'DCF Model'!C34</f>
        <v>306.35900519031145</v>
      </c>
    </row>
    <row r="22" spans="2:9" ht="15" customHeight="1" x14ac:dyDescent="0.25">
      <c r="B22" s="27" t="s">
        <v>132</v>
      </c>
      <c r="C22" s="51">
        <f>I16</f>
        <v>1.6895715440582053</v>
      </c>
      <c r="D22" s="3" t="s">
        <v>131</v>
      </c>
      <c r="E22" s="25">
        <f>C22*'DCF Model'!C6</f>
        <v>17880.735650767987</v>
      </c>
      <c r="F22" s="3" t="s">
        <v>97</v>
      </c>
      <c r="G22" s="52">
        <f>(E22-'DCF Model'!C32)/'DCF Model'!C34</f>
        <v>134.08420118249401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0"/>
  <sheetViews>
    <sheetView showGridLines="0" zoomScaleNormal="100" workbookViewId="0">
      <selection activeCell="G23" sqref="G23"/>
    </sheetView>
  </sheetViews>
  <sheetFormatPr defaultColWidth="8.7109375" defaultRowHeight="15" x14ac:dyDescent="0.25"/>
  <cols>
    <col min="1" max="1" width="3" customWidth="1"/>
    <col min="2" max="2" width="26" customWidth="1"/>
    <col min="3" max="5" width="14" customWidth="1"/>
  </cols>
  <sheetData>
    <row r="2" spans="2:5" ht="15.75" customHeight="1" x14ac:dyDescent="0.25">
      <c r="B2" s="9" t="s">
        <v>145</v>
      </c>
    </row>
    <row r="3" spans="2:5" ht="15" customHeight="1" x14ac:dyDescent="0.25">
      <c r="B3" s="10" t="s">
        <v>133</v>
      </c>
    </row>
    <row r="5" spans="2:5" ht="15" customHeight="1" x14ac:dyDescent="0.25">
      <c r="B5" s="23" t="s">
        <v>134</v>
      </c>
      <c r="C5" s="23" t="s">
        <v>128</v>
      </c>
      <c r="D5" s="23" t="s">
        <v>135</v>
      </c>
      <c r="E5" s="23" t="s">
        <v>127</v>
      </c>
    </row>
    <row r="6" spans="2:5" ht="15" customHeight="1" x14ac:dyDescent="0.25">
      <c r="B6" s="53" t="s">
        <v>136</v>
      </c>
      <c r="C6" s="54">
        <f>'DCF Model'!C35*0.88</f>
        <v>219.40737080491027</v>
      </c>
      <c r="D6" s="54">
        <f>'DCF Model'!C35</f>
        <v>249.32655773285259</v>
      </c>
      <c r="E6" s="54">
        <f>'DCF Model'!C35*1.12</f>
        <v>279.24574466079491</v>
      </c>
    </row>
    <row r="7" spans="2:5" ht="15" customHeight="1" x14ac:dyDescent="0.25">
      <c r="B7" s="55" t="s">
        <v>137</v>
      </c>
      <c r="C7" s="56">
        <f>Comps!G21*0.9</f>
        <v>275.72310467128034</v>
      </c>
      <c r="D7" s="56">
        <f>Comps!G21</f>
        <v>306.35900519031145</v>
      </c>
      <c r="E7" s="56">
        <f>Comps!G21*1.1</f>
        <v>336.99490570934262</v>
      </c>
    </row>
    <row r="8" spans="2:5" ht="15" customHeight="1" x14ac:dyDescent="0.25">
      <c r="B8" s="53" t="s">
        <v>138</v>
      </c>
      <c r="C8" s="54">
        <f>Comps!G22*0.9</f>
        <v>120.67578106424462</v>
      </c>
      <c r="D8" s="54">
        <f>Comps!G22</f>
        <v>134.08420118249401</v>
      </c>
      <c r="E8" s="54">
        <f>Comps!G22*1.1</f>
        <v>147.49262130074342</v>
      </c>
    </row>
    <row r="9" spans="2:5" ht="15" customHeight="1" x14ac:dyDescent="0.25">
      <c r="B9" s="55" t="s">
        <v>139</v>
      </c>
      <c r="C9" s="57">
        <v>250</v>
      </c>
      <c r="D9" s="57">
        <v>355</v>
      </c>
      <c r="E9" s="57">
        <v>425</v>
      </c>
    </row>
    <row r="10" spans="2:5" ht="15" customHeight="1" x14ac:dyDescent="0.25">
      <c r="B10" s="53" t="s">
        <v>140</v>
      </c>
      <c r="C10" s="58">
        <v>310</v>
      </c>
      <c r="D10" s="58">
        <v>365</v>
      </c>
      <c r="E10" s="58">
        <v>420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4"/>
  <sheetViews>
    <sheetView showGridLines="0" tabSelected="1" zoomScaleNormal="100" workbookViewId="0">
      <selection activeCell="H22" sqref="H22"/>
    </sheetView>
  </sheetViews>
  <sheetFormatPr defaultColWidth="8.7109375" defaultRowHeight="15" x14ac:dyDescent="0.25"/>
  <cols>
    <col min="1" max="1" width="3" customWidth="1"/>
    <col min="2" max="2" width="18" customWidth="1"/>
    <col min="3" max="9" width="13" customWidth="1"/>
  </cols>
  <sheetData>
    <row r="2" spans="2:7" ht="15.75" customHeight="1" x14ac:dyDescent="0.25">
      <c r="B2" s="9" t="s">
        <v>141</v>
      </c>
    </row>
    <row r="3" spans="2:7" ht="15" customHeight="1" x14ac:dyDescent="0.25">
      <c r="B3" s="10" t="s">
        <v>142</v>
      </c>
    </row>
    <row r="5" spans="2:7" ht="15" customHeight="1" x14ac:dyDescent="0.25">
      <c r="B5" s="23" t="s">
        <v>143</v>
      </c>
      <c r="C5" s="59">
        <v>0.02</v>
      </c>
      <c r="D5" s="59">
        <v>2.5000000000000001E-2</v>
      </c>
      <c r="E5" s="59">
        <v>0.03</v>
      </c>
      <c r="F5" s="59">
        <v>3.5000000000000003E-2</v>
      </c>
      <c r="G5" s="59">
        <v>0.04</v>
      </c>
    </row>
    <row r="6" spans="2:7" ht="15" customHeight="1" x14ac:dyDescent="0.25">
      <c r="B6" s="60">
        <v>0.08</v>
      </c>
      <c r="C6" s="61">
        <v>361</v>
      </c>
      <c r="D6" s="61">
        <v>367</v>
      </c>
      <c r="E6" s="61">
        <v>373</v>
      </c>
      <c r="F6" s="61">
        <v>379</v>
      </c>
      <c r="G6" s="62">
        <v>385</v>
      </c>
    </row>
    <row r="7" spans="2:7" ht="15" customHeight="1" x14ac:dyDescent="0.25">
      <c r="B7" s="60">
        <v>8.5000000000000006E-2</v>
      </c>
      <c r="C7" s="61">
        <v>352</v>
      </c>
      <c r="D7" s="61">
        <v>358</v>
      </c>
      <c r="E7" s="61">
        <v>364</v>
      </c>
      <c r="F7" s="61">
        <v>370</v>
      </c>
      <c r="G7" s="61">
        <v>376</v>
      </c>
    </row>
    <row r="8" spans="2:7" ht="15" customHeight="1" x14ac:dyDescent="0.25">
      <c r="B8" s="60">
        <v>0.09</v>
      </c>
      <c r="C8" s="61">
        <v>343</v>
      </c>
      <c r="D8" s="61">
        <v>349</v>
      </c>
      <c r="E8" s="61">
        <v>355</v>
      </c>
      <c r="F8" s="61">
        <v>361</v>
      </c>
      <c r="G8" s="61">
        <v>367</v>
      </c>
    </row>
    <row r="9" spans="2:7" ht="15" customHeight="1" x14ac:dyDescent="0.25">
      <c r="B9" s="60">
        <v>9.5000000000000001E-2</v>
      </c>
      <c r="C9" s="61">
        <v>334</v>
      </c>
      <c r="D9" s="61">
        <v>340</v>
      </c>
      <c r="E9" s="61">
        <v>346</v>
      </c>
      <c r="F9" s="61">
        <v>352</v>
      </c>
      <c r="G9" s="61">
        <v>358</v>
      </c>
    </row>
    <row r="10" spans="2:7" ht="15" customHeight="1" x14ac:dyDescent="0.25">
      <c r="B10" s="60">
        <v>0.1</v>
      </c>
      <c r="C10" s="61">
        <v>325</v>
      </c>
      <c r="D10" s="61">
        <v>331</v>
      </c>
      <c r="E10" s="61">
        <v>337</v>
      </c>
      <c r="F10" s="61">
        <v>343</v>
      </c>
      <c r="G10" s="61">
        <v>349</v>
      </c>
    </row>
    <row r="11" spans="2:7" ht="15" customHeight="1" x14ac:dyDescent="0.25">
      <c r="B11" s="60">
        <v>0.105</v>
      </c>
      <c r="C11" s="61">
        <v>316</v>
      </c>
      <c r="D11" s="61">
        <v>322</v>
      </c>
      <c r="E11" s="61">
        <v>328</v>
      </c>
      <c r="F11" s="61">
        <v>334</v>
      </c>
      <c r="G11" s="61">
        <v>340</v>
      </c>
    </row>
    <row r="12" spans="2:7" ht="15" customHeight="1" x14ac:dyDescent="0.25">
      <c r="B12" s="60">
        <v>0.11</v>
      </c>
      <c r="C12" s="61">
        <v>307</v>
      </c>
      <c r="D12" s="61">
        <v>313</v>
      </c>
      <c r="E12" s="61">
        <v>319</v>
      </c>
      <c r="F12" s="61">
        <v>325</v>
      </c>
      <c r="G12" s="61">
        <v>331</v>
      </c>
    </row>
    <row r="14" spans="2:7" ht="15" customHeight="1" x14ac:dyDescent="0.25">
      <c r="B14" s="34" t="s">
        <v>144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Assumptions</vt:lpstr>
      <vt:lpstr>DCF Model</vt:lpstr>
      <vt:lpstr>Comps</vt:lpstr>
      <vt:lpstr>Val Sum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ryan neumann</cp:lastModifiedBy>
  <cp:revision>0</cp:revision>
  <dcterms:created xsi:type="dcterms:W3CDTF">2026-06-12T00:51:26Z</dcterms:created>
  <dcterms:modified xsi:type="dcterms:W3CDTF">2026-06-12T01:07:39Z</dcterms:modified>
  <dc:language>en-US</dc:language>
</cp:coreProperties>
</file>